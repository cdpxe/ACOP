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eller\Documents\tex\IWAPS2026\"/>
    </mc:Choice>
  </mc:AlternateContent>
  <xr:revisionPtr revIDLastSave="0" documentId="13_ncr:1_{F4ACA2B0-AA12-4A41-B35F-21F9B53E38D2}" xr6:coauthVersionLast="47" xr6:coauthVersionMax="47" xr10:uidLastSave="{00000000-0000-0000-0000-000000000000}"/>
  <bookViews>
    <workbookView xWindow="-108" yWindow="-108" windowWidth="23256" windowHeight="13896" xr2:uid="{DBE404A1-E990-468A-8F79-B9D4CA3731F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8" i="1" l="1"/>
  <c r="K57" i="1"/>
  <c r="E51" i="1"/>
  <c r="C49" i="1"/>
  <c r="E45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K52" i="1"/>
  <c r="J57" i="1"/>
  <c r="K55" i="1" s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B6" i="1"/>
  <c r="B5" i="1"/>
  <c r="B4" i="1"/>
  <c r="A4" i="1"/>
  <c r="A5" i="1" s="1"/>
  <c r="A6" i="1" s="1"/>
  <c r="A7" i="1" s="1"/>
  <c r="A8" i="1" l="1"/>
  <c r="B7" i="1"/>
  <c r="K53" i="1"/>
  <c r="K54" i="1"/>
  <c r="A9" i="1" l="1"/>
  <c r="B8" i="1"/>
  <c r="A10" i="1" l="1"/>
  <c r="B9" i="1"/>
  <c r="B10" i="1" l="1"/>
  <c r="A11" i="1"/>
  <c r="B11" i="1" l="1"/>
  <c r="A12" i="1"/>
  <c r="A13" i="1" l="1"/>
  <c r="B12" i="1"/>
  <c r="A14" i="1" l="1"/>
  <c r="B13" i="1"/>
  <c r="B14" i="1" l="1"/>
  <c r="A15" i="1"/>
  <c r="B15" i="1" l="1"/>
  <c r="A16" i="1"/>
  <c r="B16" i="1" l="1"/>
  <c r="A17" i="1"/>
  <c r="A18" i="1" l="1"/>
  <c r="B17" i="1"/>
  <c r="A19" i="1" l="1"/>
  <c r="B18" i="1"/>
  <c r="A20" i="1" l="1"/>
  <c r="B19" i="1"/>
  <c r="A21" i="1" l="1"/>
  <c r="B20" i="1"/>
  <c r="A22" i="1" l="1"/>
  <c r="B21" i="1"/>
  <c r="A23" i="1" l="1"/>
  <c r="B22" i="1"/>
  <c r="B23" i="1" l="1"/>
  <c r="A24" i="1"/>
  <c r="B24" i="1" l="1"/>
  <c r="A25" i="1"/>
  <c r="B25" i="1" l="1"/>
  <c r="A26" i="1"/>
  <c r="B26" i="1" l="1"/>
  <c r="A27" i="1"/>
  <c r="A28" i="1" l="1"/>
  <c r="B27" i="1"/>
  <c r="A29" i="1" l="1"/>
  <c r="B28" i="1"/>
  <c r="A30" i="1" l="1"/>
  <c r="B29" i="1"/>
  <c r="B30" i="1" l="1"/>
  <c r="A31" i="1"/>
  <c r="A32" i="1" l="1"/>
  <c r="B31" i="1"/>
  <c r="A33" i="1" l="1"/>
  <c r="B32" i="1"/>
  <c r="A34" i="1" l="1"/>
  <c r="B33" i="1"/>
  <c r="A35" i="1" l="1"/>
  <c r="B34" i="1"/>
  <c r="A36" i="1" l="1"/>
  <c r="B35" i="1"/>
  <c r="A37" i="1" l="1"/>
  <c r="B36" i="1"/>
  <c r="B37" i="1" l="1"/>
  <c r="A38" i="1"/>
  <c r="B38" i="1" l="1"/>
  <c r="A39" i="1"/>
  <c r="B39" i="1" l="1"/>
  <c r="A40" i="1"/>
  <c r="A41" i="1" l="1"/>
  <c r="B40" i="1"/>
  <c r="A42" i="1" l="1"/>
  <c r="B41" i="1"/>
  <c r="A43" i="1" l="1"/>
  <c r="B43" i="1" s="1"/>
  <c r="B42" i="1"/>
  <c r="C42" i="1" l="1"/>
  <c r="B45" i="1"/>
  <c r="M42" i="1" l="1"/>
  <c r="N42" i="1"/>
  <c r="Q42" i="1"/>
  <c r="P42" i="1"/>
  <c r="O42" i="1"/>
  <c r="C6" i="1"/>
  <c r="C5" i="1"/>
  <c r="C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3" i="1"/>
  <c r="N14" i="1" l="1"/>
  <c r="M14" i="1"/>
  <c r="Q14" i="1"/>
  <c r="P14" i="1"/>
  <c r="O14" i="1"/>
  <c r="N41" i="1"/>
  <c r="O41" i="1"/>
  <c r="M41" i="1"/>
  <c r="Q41" i="1"/>
  <c r="P41" i="1"/>
  <c r="N13" i="1"/>
  <c r="P13" i="1"/>
  <c r="Q13" i="1"/>
  <c r="O13" i="1"/>
  <c r="M13" i="1"/>
  <c r="Q39" i="1"/>
  <c r="P39" i="1"/>
  <c r="O39" i="1"/>
  <c r="N39" i="1"/>
  <c r="M39" i="1"/>
  <c r="P24" i="1"/>
  <c r="N24" i="1"/>
  <c r="M24" i="1"/>
  <c r="Q24" i="1"/>
  <c r="O24" i="1"/>
  <c r="M9" i="1"/>
  <c r="N9" i="1"/>
  <c r="O9" i="1"/>
  <c r="Q9" i="1"/>
  <c r="P9" i="1"/>
  <c r="Q35" i="1"/>
  <c r="P35" i="1"/>
  <c r="N35" i="1"/>
  <c r="O35" i="1"/>
  <c r="M35" i="1"/>
  <c r="P20" i="1"/>
  <c r="Q20" i="1"/>
  <c r="N20" i="1"/>
  <c r="M20" i="1"/>
  <c r="O20" i="1"/>
  <c r="P19" i="1"/>
  <c r="M19" i="1"/>
  <c r="Q19" i="1"/>
  <c r="O19" i="1"/>
  <c r="N19" i="1"/>
  <c r="P31" i="1"/>
  <c r="O31" i="1"/>
  <c r="N31" i="1"/>
  <c r="M31" i="1"/>
  <c r="Q31" i="1"/>
  <c r="N29" i="1"/>
  <c r="M29" i="1"/>
  <c r="Q29" i="1"/>
  <c r="O29" i="1"/>
  <c r="P29" i="1"/>
  <c r="N15" i="1"/>
  <c r="M15" i="1"/>
  <c r="Q15" i="1"/>
  <c r="P15" i="1"/>
  <c r="O15" i="1"/>
  <c r="N43" i="1"/>
  <c r="M43" i="1"/>
  <c r="Q43" i="1"/>
  <c r="P43" i="1"/>
  <c r="O43" i="1"/>
  <c r="M28" i="1"/>
  <c r="N28" i="1"/>
  <c r="O28" i="1"/>
  <c r="Q28" i="1"/>
  <c r="P28" i="1"/>
  <c r="N27" i="1"/>
  <c r="P27" i="1"/>
  <c r="Q27" i="1"/>
  <c r="M27" i="1"/>
  <c r="O27" i="1"/>
  <c r="Q40" i="1"/>
  <c r="P40" i="1"/>
  <c r="O40" i="1"/>
  <c r="M40" i="1"/>
  <c r="N40" i="1"/>
  <c r="Q26" i="1"/>
  <c r="P26" i="1"/>
  <c r="O26" i="1"/>
  <c r="N26" i="1"/>
  <c r="M26" i="1"/>
  <c r="Q12" i="1"/>
  <c r="P12" i="1"/>
  <c r="O12" i="1"/>
  <c r="N12" i="1"/>
  <c r="M12" i="1"/>
  <c r="P25" i="1"/>
  <c r="O25" i="1"/>
  <c r="Q25" i="1"/>
  <c r="N25" i="1"/>
  <c r="M25" i="1"/>
  <c r="P11" i="1"/>
  <c r="O11" i="1"/>
  <c r="Q11" i="1"/>
  <c r="M11" i="1"/>
  <c r="N11" i="1"/>
  <c r="N38" i="1"/>
  <c r="Q38" i="1"/>
  <c r="O38" i="1"/>
  <c r="P38" i="1"/>
  <c r="M38" i="1"/>
  <c r="Q10" i="1"/>
  <c r="O10" i="1"/>
  <c r="P10" i="1"/>
  <c r="N10" i="1"/>
  <c r="M10" i="1"/>
  <c r="M37" i="1"/>
  <c r="O37" i="1"/>
  <c r="N37" i="1"/>
  <c r="P37" i="1"/>
  <c r="Q37" i="1"/>
  <c r="M23" i="1"/>
  <c r="P23" i="1"/>
  <c r="O23" i="1"/>
  <c r="N23" i="1"/>
  <c r="Q23" i="1"/>
  <c r="O36" i="1"/>
  <c r="N36" i="1"/>
  <c r="M36" i="1"/>
  <c r="Q36" i="1"/>
  <c r="P36" i="1"/>
  <c r="O22" i="1"/>
  <c r="N22" i="1"/>
  <c r="M22" i="1"/>
  <c r="Q22" i="1"/>
  <c r="P22" i="1"/>
  <c r="O8" i="1"/>
  <c r="N8" i="1"/>
  <c r="M8" i="1"/>
  <c r="Q8" i="1"/>
  <c r="P8" i="1"/>
  <c r="Q21" i="1"/>
  <c r="P21" i="1"/>
  <c r="M21" i="1"/>
  <c r="O21" i="1"/>
  <c r="N21" i="1"/>
  <c r="Q7" i="1"/>
  <c r="P7" i="1"/>
  <c r="M7" i="1"/>
  <c r="O7" i="1"/>
  <c r="N7" i="1"/>
  <c r="Q34" i="1"/>
  <c r="P34" i="1"/>
  <c r="N34" i="1"/>
  <c r="O34" i="1"/>
  <c r="M34" i="1"/>
  <c r="O4" i="1"/>
  <c r="M4" i="1"/>
  <c r="C45" i="1"/>
  <c r="Q4" i="1"/>
  <c r="Q45" i="1" s="1"/>
  <c r="P4" i="1"/>
  <c r="C47" i="1"/>
  <c r="N4" i="1"/>
  <c r="P33" i="1"/>
  <c r="O33" i="1"/>
  <c r="N33" i="1"/>
  <c r="M33" i="1"/>
  <c r="Q33" i="1"/>
  <c r="Q5" i="1"/>
  <c r="P5" i="1"/>
  <c r="O5" i="1"/>
  <c r="N5" i="1"/>
  <c r="M5" i="1"/>
  <c r="M32" i="1"/>
  <c r="Q32" i="1"/>
  <c r="P32" i="1"/>
  <c r="O32" i="1"/>
  <c r="N32" i="1"/>
  <c r="M18" i="1"/>
  <c r="N18" i="1"/>
  <c r="Q18" i="1"/>
  <c r="P18" i="1"/>
  <c r="O18" i="1"/>
  <c r="Q6" i="1"/>
  <c r="P6" i="1"/>
  <c r="N6" i="1"/>
  <c r="M6" i="1"/>
  <c r="O6" i="1"/>
  <c r="P17" i="1"/>
  <c r="O17" i="1"/>
  <c r="M17" i="1"/>
  <c r="Q17" i="1"/>
  <c r="N17" i="1"/>
  <c r="M30" i="1"/>
  <c r="Q30" i="1"/>
  <c r="O30" i="1"/>
  <c r="P30" i="1"/>
  <c r="N30" i="1"/>
  <c r="M16" i="1"/>
  <c r="Q16" i="1"/>
  <c r="O16" i="1"/>
  <c r="P16" i="1"/>
  <c r="N16" i="1"/>
  <c r="O45" i="1" l="1"/>
  <c r="Q46" i="1"/>
  <c r="M55" i="1" s="1"/>
  <c r="M45" i="1"/>
  <c r="N45" i="1"/>
  <c r="P45" i="1"/>
  <c r="O46" i="1" l="1"/>
  <c r="M54" i="1" s="1"/>
  <c r="P46" i="1"/>
  <c r="M53" i="1" s="1"/>
  <c r="N46" i="1"/>
  <c r="R45" i="1"/>
  <c r="M52" i="1" l="1"/>
  <c r="M56" i="1" s="1"/>
  <c r="R46" i="1"/>
</calcChain>
</file>

<file path=xl/sharedStrings.xml><?xml version="1.0" encoding="utf-8"?>
<sst xmlns="http://schemas.openxmlformats.org/spreadsheetml/2006/main" count="48" uniqueCount="48">
  <si>
    <t>sym0</t>
  </si>
  <si>
    <t>sym1</t>
  </si>
  <si>
    <t>sym2</t>
  </si>
  <si>
    <t>sym3</t>
  </si>
  <si>
    <t>Secret message</t>
  </si>
  <si>
    <t>Symbol index j</t>
  </si>
  <si>
    <t>Symbol freq. 1/j</t>
  </si>
  <si>
    <t>Prob r_j = (1/j)/H_40</t>
  </si>
  <si>
    <t>H_40 = Sum of (1/j)</t>
  </si>
  <si>
    <t>(40th harmonic number)</t>
  </si>
  <si>
    <t>log2(r_j)</t>
  </si>
  <si>
    <t>"-r_j * LOG2(r_j)"</t>
  </si>
  <si>
    <t>Entropy symbol source</t>
  </si>
  <si>
    <t>avg codeword length</t>
  </si>
  <si>
    <t>(symbols 1…8: two 2-bit carrier symbols, symbols 9…40: three 2-bit carrier symbols)</t>
  </si>
  <si>
    <t xml:space="preserve">upper bound: </t>
  </si>
  <si>
    <t>(avg codeword length * |Sigma_c| where |Sigma_c|=4</t>
  </si>
  <si>
    <t>lower bound:</t>
  </si>
  <si>
    <t>((entropy/2) * |Sigma_c| where |Sigma_c|=4)</t>
  </si>
  <si>
    <t>Division by 2 as entropy is in bit while carrier symbols are 2-bit symbols</t>
  </si>
  <si>
    <t>codeword length</t>
  </si>
  <si>
    <t>in 2-bit carrier symbols</t>
  </si>
  <si>
    <t>Frequencies of carrier symbols in each codeword</t>
  </si>
  <si>
    <t>Explanation: codeword for message symbol 1 is 00 00, i.e., twice sym0 (00)</t>
  </si>
  <si>
    <t>codeword for message symbol 8 is 01 11, i.e. 1x sym1 and 1x sym3</t>
  </si>
  <si>
    <t>codeword for message symbol 9 is 10 00 00, i.e. 2x sym0 and 1x sym2</t>
  </si>
  <si>
    <t>codeword for message symbol 40 is 11 11 11, i.e. 3x sym3</t>
  </si>
  <si>
    <t>check sum of carrier symbol frequencies</t>
  </si>
  <si>
    <t>against codeword length to exclude errors</t>
  </si>
  <si>
    <t>prob r_j *</t>
  </si>
  <si>
    <t>codew. length</t>
  </si>
  <si>
    <t>average codeword length</t>
  </si>
  <si>
    <t>(should be identical to C47)</t>
  </si>
  <si>
    <t>(difference possibly due to rounding)</t>
  </si>
  <si>
    <t>Encoding of secret message into 2-bit carrier symbols</t>
  </si>
  <si>
    <t>Percentages of</t>
  </si>
  <si>
    <t>2nd to 5th most</t>
  </si>
  <si>
    <t>frequent ToS symbols</t>
  </si>
  <si>
    <t>Probabilities</t>
  </si>
  <si>
    <t>p_i</t>
  </si>
  <si>
    <t>Factors</t>
  </si>
  <si>
    <t>q_i/p_i</t>
  </si>
  <si>
    <t>Computation of carrier symbol frequencies q_i in encoded secret message</t>
  </si>
  <si>
    <t>Prob. q_i</t>
  </si>
  <si>
    <t>sum q_i/p_i</t>
  </si>
  <si>
    <t>avg. no.  carrier symbols till</t>
  </si>
  <si>
    <t>match with next encoded</t>
  </si>
  <si>
    <t>secret message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</si>
</sst>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88C1-7348-4371-BBF6-898B445028D0}">
  <dimension ref="A1:R60"/>
  <sheetViews>
    <sheetView tabSelected="1" topLeftCell="D28" workbookViewId="0">
      <selection activeCell="L58" sqref="L58:L60"/>
    </sheetView>
  </sheetViews>
  <sheetFormatPr baseColWidth="10" defaultRowHeight="14.4" x14ac:dyDescent="0.3"/>
  <cols>
    <col min="1" max="1" width="13.21875" customWidth="1"/>
    <col min="3" max="4" width="18" customWidth="1"/>
    <col min="5" max="5" width="16" customWidth="1"/>
    <col min="6" max="6" width="18" customWidth="1"/>
    <col min="10" max="10" width="14.77734375" customWidth="1"/>
    <col min="12" max="12" width="22.88671875" customWidth="1"/>
  </cols>
  <sheetData>
    <row r="1" spans="1:17" x14ac:dyDescent="0.3">
      <c r="A1" t="s">
        <v>4</v>
      </c>
      <c r="F1" t="s">
        <v>34</v>
      </c>
    </row>
    <row r="2" spans="1:17" x14ac:dyDescent="0.3">
      <c r="A2" t="s">
        <v>5</v>
      </c>
      <c r="B2" t="s">
        <v>6</v>
      </c>
      <c r="C2" t="s">
        <v>7</v>
      </c>
      <c r="D2" t="s">
        <v>10</v>
      </c>
      <c r="E2" t="s">
        <v>11</v>
      </c>
      <c r="F2" t="s">
        <v>20</v>
      </c>
      <c r="G2" t="s">
        <v>22</v>
      </c>
      <c r="K2" t="s">
        <v>27</v>
      </c>
      <c r="M2" t="s">
        <v>29</v>
      </c>
      <c r="N2" t="s">
        <v>42</v>
      </c>
    </row>
    <row r="3" spans="1:17" x14ac:dyDescent="0.3">
      <c r="F3" t="s">
        <v>21</v>
      </c>
      <c r="G3" t="s">
        <v>0</v>
      </c>
      <c r="H3" t="s">
        <v>1</v>
      </c>
      <c r="I3" t="s">
        <v>2</v>
      </c>
      <c r="J3" t="s">
        <v>3</v>
      </c>
      <c r="K3" t="s">
        <v>28</v>
      </c>
      <c r="M3" t="s">
        <v>30</v>
      </c>
    </row>
    <row r="4" spans="1:17" x14ac:dyDescent="0.3">
      <c r="A4">
        <f t="shared" ref="A4:A43" si="0">A3+1</f>
        <v>1</v>
      </c>
      <c r="B4">
        <f t="shared" ref="B4:B43" si="1">1/A4</f>
        <v>1</v>
      </c>
      <c r="C4">
        <f t="shared" ref="C4:C43" si="2">B4/$B$45</f>
        <v>0.23372442228572157</v>
      </c>
      <c r="D4">
        <f t="shared" ref="D4:D43" si="3">LOG(C4,2)</f>
        <v>-2.0971196030875219</v>
      </c>
      <c r="E4">
        <f t="shared" ref="E4:E43" si="4">-C4*D4</f>
        <v>0.4901480676956928</v>
      </c>
      <c r="F4">
        <v>2</v>
      </c>
      <c r="G4">
        <v>2</v>
      </c>
      <c r="H4">
        <v>0</v>
      </c>
      <c r="I4">
        <v>0</v>
      </c>
      <c r="J4">
        <v>0</v>
      </c>
      <c r="K4">
        <f t="shared" ref="K4:K43" si="5">F4-SUM(G4:J4)</f>
        <v>0</v>
      </c>
      <c r="M4">
        <f t="shared" ref="M4:M43" si="6">$F4*$C4</f>
        <v>0.46744884457144315</v>
      </c>
      <c r="N4">
        <f t="shared" ref="N4:N43" si="7">$G4*$C4</f>
        <v>0.46744884457144315</v>
      </c>
      <c r="O4">
        <f t="shared" ref="O4:O43" si="8">$H4*$C4</f>
        <v>0</v>
      </c>
      <c r="P4">
        <f t="shared" ref="P4:P43" si="9">$I4*$C4</f>
        <v>0</v>
      </c>
      <c r="Q4">
        <f t="shared" ref="Q4:Q43" si="10">$J4*$C4</f>
        <v>0</v>
      </c>
    </row>
    <row r="5" spans="1:17" x14ac:dyDescent="0.3">
      <c r="A5">
        <f t="shared" si="0"/>
        <v>2</v>
      </c>
      <c r="B5">
        <f t="shared" si="1"/>
        <v>0.5</v>
      </c>
      <c r="C5">
        <f t="shared" si="2"/>
        <v>0.11686221114286079</v>
      </c>
      <c r="D5">
        <f t="shared" si="3"/>
        <v>-3.0971196030875219</v>
      </c>
      <c r="E5">
        <f t="shared" si="4"/>
        <v>0.3619362449907072</v>
      </c>
      <c r="F5">
        <v>2</v>
      </c>
      <c r="G5">
        <v>1</v>
      </c>
      <c r="H5">
        <v>1</v>
      </c>
      <c r="I5">
        <v>0</v>
      </c>
      <c r="J5">
        <v>0</v>
      </c>
      <c r="K5">
        <f t="shared" si="5"/>
        <v>0</v>
      </c>
      <c r="M5">
        <f t="shared" si="6"/>
        <v>0.23372442228572157</v>
      </c>
      <c r="N5">
        <f t="shared" si="7"/>
        <v>0.11686221114286079</v>
      </c>
      <c r="O5">
        <f t="shared" si="8"/>
        <v>0.11686221114286079</v>
      </c>
      <c r="P5">
        <f t="shared" si="9"/>
        <v>0</v>
      </c>
      <c r="Q5">
        <f t="shared" si="10"/>
        <v>0</v>
      </c>
    </row>
    <row r="6" spans="1:17" x14ac:dyDescent="0.3">
      <c r="A6">
        <f t="shared" si="0"/>
        <v>3</v>
      </c>
      <c r="B6">
        <f t="shared" si="1"/>
        <v>0.33333333333333331</v>
      </c>
      <c r="C6">
        <f t="shared" si="2"/>
        <v>7.7908140761907191E-2</v>
      </c>
      <c r="D6">
        <f t="shared" si="3"/>
        <v>-3.6820821038086784</v>
      </c>
      <c r="E6">
        <f t="shared" si="4"/>
        <v>0.28686417084042587</v>
      </c>
      <c r="F6">
        <v>2</v>
      </c>
      <c r="G6">
        <v>1</v>
      </c>
      <c r="H6">
        <v>0</v>
      </c>
      <c r="I6">
        <v>1</v>
      </c>
      <c r="J6">
        <v>0</v>
      </c>
      <c r="K6">
        <f t="shared" si="5"/>
        <v>0</v>
      </c>
      <c r="M6">
        <f t="shared" si="6"/>
        <v>0.15581628152381438</v>
      </c>
      <c r="N6">
        <f t="shared" si="7"/>
        <v>7.7908140761907191E-2</v>
      </c>
      <c r="O6">
        <f t="shared" si="8"/>
        <v>0</v>
      </c>
      <c r="P6">
        <f t="shared" si="9"/>
        <v>7.7908140761907191E-2</v>
      </c>
      <c r="Q6">
        <f t="shared" si="10"/>
        <v>0</v>
      </c>
    </row>
    <row r="7" spans="1:17" x14ac:dyDescent="0.3">
      <c r="A7">
        <f t="shared" si="0"/>
        <v>4</v>
      </c>
      <c r="B7">
        <f t="shared" si="1"/>
        <v>0.25</v>
      </c>
      <c r="C7">
        <f t="shared" si="2"/>
        <v>5.8431105571430393E-2</v>
      </c>
      <c r="D7">
        <f t="shared" si="3"/>
        <v>-4.0971196030875223</v>
      </c>
      <c r="E7">
        <f t="shared" si="4"/>
        <v>0.23939922806678401</v>
      </c>
      <c r="F7">
        <v>2</v>
      </c>
      <c r="G7">
        <v>1</v>
      </c>
      <c r="H7">
        <v>0</v>
      </c>
      <c r="I7">
        <v>0</v>
      </c>
      <c r="J7">
        <v>1</v>
      </c>
      <c r="K7">
        <f t="shared" si="5"/>
        <v>0</v>
      </c>
      <c r="M7">
        <f t="shared" si="6"/>
        <v>0.11686221114286079</v>
      </c>
      <c r="N7">
        <f t="shared" si="7"/>
        <v>5.8431105571430393E-2</v>
      </c>
      <c r="O7">
        <f t="shared" si="8"/>
        <v>0</v>
      </c>
      <c r="P7">
        <f t="shared" si="9"/>
        <v>0</v>
      </c>
      <c r="Q7">
        <f t="shared" si="10"/>
        <v>5.8431105571430393E-2</v>
      </c>
    </row>
    <row r="8" spans="1:17" x14ac:dyDescent="0.3">
      <c r="A8">
        <f t="shared" si="0"/>
        <v>5</v>
      </c>
      <c r="B8">
        <f t="shared" si="1"/>
        <v>0.2</v>
      </c>
      <c r="C8">
        <f t="shared" si="2"/>
        <v>4.6744884457144316E-2</v>
      </c>
      <c r="D8">
        <f t="shared" si="3"/>
        <v>-4.4190476979748841</v>
      </c>
      <c r="E8">
        <f t="shared" si="4"/>
        <v>0.20656787405244553</v>
      </c>
      <c r="F8">
        <v>2</v>
      </c>
      <c r="G8">
        <v>1</v>
      </c>
      <c r="H8">
        <v>1</v>
      </c>
      <c r="I8">
        <v>0</v>
      </c>
      <c r="J8">
        <v>0</v>
      </c>
      <c r="K8">
        <f t="shared" si="5"/>
        <v>0</v>
      </c>
      <c r="M8">
        <f t="shared" si="6"/>
        <v>9.3489768914288632E-2</v>
      </c>
      <c r="N8">
        <f t="shared" si="7"/>
        <v>4.6744884457144316E-2</v>
      </c>
      <c r="O8">
        <f t="shared" si="8"/>
        <v>4.6744884457144316E-2</v>
      </c>
      <c r="P8">
        <f t="shared" si="9"/>
        <v>0</v>
      </c>
      <c r="Q8">
        <f t="shared" si="10"/>
        <v>0</v>
      </c>
    </row>
    <row r="9" spans="1:17" x14ac:dyDescent="0.3">
      <c r="A9">
        <f t="shared" si="0"/>
        <v>6</v>
      </c>
      <c r="B9">
        <f t="shared" si="1"/>
        <v>0.16666666666666666</v>
      </c>
      <c r="C9">
        <f t="shared" si="2"/>
        <v>3.8954070380953595E-2</v>
      </c>
      <c r="D9">
        <f t="shared" si="3"/>
        <v>-4.6820821038086775</v>
      </c>
      <c r="E9">
        <f t="shared" si="4"/>
        <v>0.18238615580116649</v>
      </c>
      <c r="F9">
        <v>2</v>
      </c>
      <c r="G9">
        <v>0</v>
      </c>
      <c r="H9">
        <v>2</v>
      </c>
      <c r="I9">
        <v>0</v>
      </c>
      <c r="J9">
        <v>0</v>
      </c>
      <c r="K9">
        <f t="shared" si="5"/>
        <v>0</v>
      </c>
      <c r="M9">
        <f t="shared" si="6"/>
        <v>7.7908140761907191E-2</v>
      </c>
      <c r="N9">
        <f t="shared" si="7"/>
        <v>0</v>
      </c>
      <c r="O9">
        <f t="shared" si="8"/>
        <v>7.7908140761907191E-2</v>
      </c>
      <c r="P9">
        <f t="shared" si="9"/>
        <v>0</v>
      </c>
      <c r="Q9">
        <f t="shared" si="10"/>
        <v>0</v>
      </c>
    </row>
    <row r="10" spans="1:17" x14ac:dyDescent="0.3">
      <c r="A10">
        <f t="shared" si="0"/>
        <v>7</v>
      </c>
      <c r="B10">
        <f t="shared" si="1"/>
        <v>0.14285714285714285</v>
      </c>
      <c r="C10">
        <f t="shared" si="2"/>
        <v>3.3389203183674505E-2</v>
      </c>
      <c r="D10">
        <f t="shared" si="3"/>
        <v>-4.9044745251451261</v>
      </c>
      <c r="E10">
        <f t="shared" si="4"/>
        <v>0.16375649642922616</v>
      </c>
      <c r="F10">
        <v>2</v>
      </c>
      <c r="G10">
        <v>0</v>
      </c>
      <c r="H10">
        <v>1</v>
      </c>
      <c r="I10">
        <v>1</v>
      </c>
      <c r="J10">
        <v>0</v>
      </c>
      <c r="K10">
        <f t="shared" si="5"/>
        <v>0</v>
      </c>
      <c r="M10">
        <f t="shared" si="6"/>
        <v>6.6778406367349011E-2</v>
      </c>
      <c r="N10">
        <f t="shared" si="7"/>
        <v>0</v>
      </c>
      <c r="O10">
        <f t="shared" si="8"/>
        <v>3.3389203183674505E-2</v>
      </c>
      <c r="P10">
        <f t="shared" si="9"/>
        <v>3.3389203183674505E-2</v>
      </c>
      <c r="Q10">
        <f t="shared" si="10"/>
        <v>0</v>
      </c>
    </row>
    <row r="11" spans="1:17" x14ac:dyDescent="0.3">
      <c r="A11">
        <f t="shared" si="0"/>
        <v>8</v>
      </c>
      <c r="B11">
        <f t="shared" si="1"/>
        <v>0.125</v>
      </c>
      <c r="C11">
        <f t="shared" si="2"/>
        <v>2.9215552785715197E-2</v>
      </c>
      <c r="D11">
        <f t="shared" si="3"/>
        <v>-5.0971196030875223</v>
      </c>
      <c r="E11">
        <f t="shared" si="4"/>
        <v>0.14891516681910719</v>
      </c>
      <c r="F11">
        <v>2</v>
      </c>
      <c r="G11">
        <v>0</v>
      </c>
      <c r="H11">
        <v>1</v>
      </c>
      <c r="I11">
        <v>0</v>
      </c>
      <c r="J11">
        <v>1</v>
      </c>
      <c r="K11">
        <f t="shared" si="5"/>
        <v>0</v>
      </c>
      <c r="M11">
        <f t="shared" si="6"/>
        <v>5.8431105571430393E-2</v>
      </c>
      <c r="N11">
        <f t="shared" si="7"/>
        <v>0</v>
      </c>
      <c r="O11">
        <f t="shared" si="8"/>
        <v>2.9215552785715197E-2</v>
      </c>
      <c r="P11">
        <f t="shared" si="9"/>
        <v>0</v>
      </c>
      <c r="Q11">
        <f t="shared" si="10"/>
        <v>2.9215552785715197E-2</v>
      </c>
    </row>
    <row r="12" spans="1:17" x14ac:dyDescent="0.3">
      <c r="A12">
        <f t="shared" si="0"/>
        <v>9</v>
      </c>
      <c r="B12">
        <f t="shared" si="1"/>
        <v>0.1111111111111111</v>
      </c>
      <c r="C12">
        <f t="shared" si="2"/>
        <v>2.5969380253969061E-2</v>
      </c>
      <c r="D12">
        <f t="shared" si="3"/>
        <v>-5.2670446045298345</v>
      </c>
      <c r="E12">
        <f t="shared" si="4"/>
        <v>0.13678188414965137</v>
      </c>
      <c r="F12">
        <v>3</v>
      </c>
      <c r="G12">
        <v>2</v>
      </c>
      <c r="H12">
        <v>0</v>
      </c>
      <c r="I12">
        <v>1</v>
      </c>
      <c r="J12">
        <v>0</v>
      </c>
      <c r="K12">
        <f t="shared" si="5"/>
        <v>0</v>
      </c>
      <c r="M12">
        <f t="shared" si="6"/>
        <v>7.7908140761907191E-2</v>
      </c>
      <c r="N12">
        <f t="shared" si="7"/>
        <v>5.1938760507938123E-2</v>
      </c>
      <c r="O12">
        <f t="shared" si="8"/>
        <v>0</v>
      </c>
      <c r="P12">
        <f t="shared" si="9"/>
        <v>2.5969380253969061E-2</v>
      </c>
      <c r="Q12">
        <f t="shared" si="10"/>
        <v>0</v>
      </c>
    </row>
    <row r="13" spans="1:17" x14ac:dyDescent="0.3">
      <c r="A13">
        <f t="shared" si="0"/>
        <v>10</v>
      </c>
      <c r="B13">
        <f t="shared" si="1"/>
        <v>0.1</v>
      </c>
      <c r="C13">
        <f t="shared" si="2"/>
        <v>2.3372442228572158E-2</v>
      </c>
      <c r="D13">
        <f t="shared" si="3"/>
        <v>-5.4190476979748841</v>
      </c>
      <c r="E13">
        <f t="shared" si="4"/>
        <v>0.12665637925479492</v>
      </c>
      <c r="F13">
        <v>3</v>
      </c>
      <c r="G13">
        <v>1</v>
      </c>
      <c r="H13">
        <v>1</v>
      </c>
      <c r="I13">
        <v>1</v>
      </c>
      <c r="J13">
        <v>0</v>
      </c>
      <c r="K13">
        <f t="shared" si="5"/>
        <v>0</v>
      </c>
      <c r="M13">
        <f t="shared" si="6"/>
        <v>7.0117326685716477E-2</v>
      </c>
      <c r="N13">
        <f t="shared" si="7"/>
        <v>2.3372442228572158E-2</v>
      </c>
      <c r="O13">
        <f t="shared" si="8"/>
        <v>2.3372442228572158E-2</v>
      </c>
      <c r="P13">
        <f t="shared" si="9"/>
        <v>2.3372442228572158E-2</v>
      </c>
      <c r="Q13">
        <f t="shared" si="10"/>
        <v>0</v>
      </c>
    </row>
    <row r="14" spans="1:17" x14ac:dyDescent="0.3">
      <c r="A14">
        <f t="shared" si="0"/>
        <v>11</v>
      </c>
      <c r="B14">
        <f t="shared" si="1"/>
        <v>9.0909090909090912E-2</v>
      </c>
      <c r="C14">
        <f t="shared" si="2"/>
        <v>2.1247674753247417E-2</v>
      </c>
      <c r="D14">
        <f t="shared" si="3"/>
        <v>-5.5565512217248196</v>
      </c>
      <c r="E14">
        <f t="shared" si="4"/>
        <v>0.11806379310896854</v>
      </c>
      <c r="F14">
        <v>3</v>
      </c>
      <c r="G14">
        <v>1</v>
      </c>
      <c r="H14">
        <v>0</v>
      </c>
      <c r="I14">
        <v>2</v>
      </c>
      <c r="J14">
        <v>0</v>
      </c>
      <c r="K14">
        <f t="shared" si="5"/>
        <v>0</v>
      </c>
      <c r="M14">
        <f t="shared" si="6"/>
        <v>6.3743024259742251E-2</v>
      </c>
      <c r="N14">
        <f t="shared" si="7"/>
        <v>2.1247674753247417E-2</v>
      </c>
      <c r="O14">
        <f t="shared" si="8"/>
        <v>0</v>
      </c>
      <c r="P14">
        <f t="shared" si="9"/>
        <v>4.2495349506494834E-2</v>
      </c>
      <c r="Q14">
        <f t="shared" si="10"/>
        <v>0</v>
      </c>
    </row>
    <row r="15" spans="1:17" x14ac:dyDescent="0.3">
      <c r="A15">
        <f t="shared" si="0"/>
        <v>12</v>
      </c>
      <c r="B15">
        <f t="shared" si="1"/>
        <v>8.3333333333333329E-2</v>
      </c>
      <c r="C15">
        <f t="shared" si="2"/>
        <v>1.9477035190476798E-2</v>
      </c>
      <c r="D15">
        <f t="shared" si="3"/>
        <v>-5.6820821038086784</v>
      </c>
      <c r="E15">
        <f t="shared" si="4"/>
        <v>0.11067011309106006</v>
      </c>
      <c r="F15">
        <v>3</v>
      </c>
      <c r="G15">
        <v>1</v>
      </c>
      <c r="H15">
        <v>0</v>
      </c>
      <c r="I15">
        <v>1</v>
      </c>
      <c r="J15">
        <v>1</v>
      </c>
      <c r="K15">
        <f t="shared" si="5"/>
        <v>0</v>
      </c>
      <c r="M15">
        <f t="shared" si="6"/>
        <v>5.8431105571430393E-2</v>
      </c>
      <c r="N15">
        <f t="shared" si="7"/>
        <v>1.9477035190476798E-2</v>
      </c>
      <c r="O15">
        <f t="shared" si="8"/>
        <v>0</v>
      </c>
      <c r="P15">
        <f t="shared" si="9"/>
        <v>1.9477035190476798E-2</v>
      </c>
      <c r="Q15">
        <f t="shared" si="10"/>
        <v>1.9477035190476798E-2</v>
      </c>
    </row>
    <row r="16" spans="1:17" x14ac:dyDescent="0.3">
      <c r="A16">
        <f t="shared" si="0"/>
        <v>13</v>
      </c>
      <c r="B16">
        <f t="shared" si="1"/>
        <v>7.6923076923076927E-2</v>
      </c>
      <c r="C16">
        <f t="shared" si="2"/>
        <v>1.7978801714286275E-2</v>
      </c>
      <c r="D16">
        <f t="shared" si="3"/>
        <v>-5.7975593212286149</v>
      </c>
      <c r="E16">
        <f t="shared" si="4"/>
        <v>0.1042331694631814</v>
      </c>
      <c r="F16">
        <v>3</v>
      </c>
      <c r="G16">
        <v>1</v>
      </c>
      <c r="H16">
        <v>1</v>
      </c>
      <c r="I16">
        <v>1</v>
      </c>
      <c r="J16">
        <v>0</v>
      </c>
      <c r="K16">
        <f t="shared" si="5"/>
        <v>0</v>
      </c>
      <c r="M16">
        <f t="shared" si="6"/>
        <v>5.3936405142858829E-2</v>
      </c>
      <c r="N16">
        <f t="shared" si="7"/>
        <v>1.7978801714286275E-2</v>
      </c>
      <c r="O16">
        <f t="shared" si="8"/>
        <v>1.7978801714286275E-2</v>
      </c>
      <c r="P16">
        <f t="shared" si="9"/>
        <v>1.7978801714286275E-2</v>
      </c>
      <c r="Q16">
        <f t="shared" si="10"/>
        <v>0</v>
      </c>
    </row>
    <row r="17" spans="1:17" x14ac:dyDescent="0.3">
      <c r="A17">
        <f t="shared" si="0"/>
        <v>14</v>
      </c>
      <c r="B17">
        <f t="shared" si="1"/>
        <v>7.1428571428571425E-2</v>
      </c>
      <c r="C17">
        <f t="shared" si="2"/>
        <v>1.6694601591837253E-2</v>
      </c>
      <c r="D17">
        <f t="shared" si="3"/>
        <v>-5.9044745251451261</v>
      </c>
      <c r="E17">
        <f t="shared" si="4"/>
        <v>9.8572849806450327E-2</v>
      </c>
      <c r="F17">
        <v>3</v>
      </c>
      <c r="G17">
        <v>0</v>
      </c>
      <c r="H17">
        <v>2</v>
      </c>
      <c r="I17">
        <v>1</v>
      </c>
      <c r="J17">
        <v>0</v>
      </c>
      <c r="K17">
        <f t="shared" si="5"/>
        <v>0</v>
      </c>
      <c r="M17">
        <f t="shared" si="6"/>
        <v>5.0083804775511762E-2</v>
      </c>
      <c r="N17">
        <f t="shared" si="7"/>
        <v>0</v>
      </c>
      <c r="O17">
        <f t="shared" si="8"/>
        <v>3.3389203183674505E-2</v>
      </c>
      <c r="P17">
        <f t="shared" si="9"/>
        <v>1.6694601591837253E-2</v>
      </c>
      <c r="Q17">
        <f t="shared" si="10"/>
        <v>0</v>
      </c>
    </row>
    <row r="18" spans="1:17" x14ac:dyDescent="0.3">
      <c r="A18">
        <f t="shared" si="0"/>
        <v>15</v>
      </c>
      <c r="B18">
        <f t="shared" si="1"/>
        <v>6.6666666666666666E-2</v>
      </c>
      <c r="C18">
        <f t="shared" si="2"/>
        <v>1.5581628152381437E-2</v>
      </c>
      <c r="D18">
        <f t="shared" si="3"/>
        <v>-6.004010198696041</v>
      </c>
      <c r="E18">
        <f t="shared" si="4"/>
        <v>9.3552254339187499E-2</v>
      </c>
      <c r="F18">
        <v>3</v>
      </c>
      <c r="G18">
        <v>0</v>
      </c>
      <c r="H18">
        <v>1</v>
      </c>
      <c r="I18">
        <v>2</v>
      </c>
      <c r="J18">
        <v>0</v>
      </c>
      <c r="K18">
        <f t="shared" si="5"/>
        <v>0</v>
      </c>
      <c r="M18">
        <f t="shared" si="6"/>
        <v>4.6744884457144309E-2</v>
      </c>
      <c r="N18">
        <f t="shared" si="7"/>
        <v>0</v>
      </c>
      <c r="O18">
        <f t="shared" si="8"/>
        <v>1.5581628152381437E-2</v>
      </c>
      <c r="P18">
        <f t="shared" si="9"/>
        <v>3.1163256304762875E-2</v>
      </c>
      <c r="Q18">
        <f t="shared" si="10"/>
        <v>0</v>
      </c>
    </row>
    <row r="19" spans="1:17" x14ac:dyDescent="0.3">
      <c r="A19">
        <f t="shared" si="0"/>
        <v>16</v>
      </c>
      <c r="B19">
        <f t="shared" si="1"/>
        <v>6.25E-2</v>
      </c>
      <c r="C19">
        <f t="shared" si="2"/>
        <v>1.4607776392857598E-2</v>
      </c>
      <c r="D19">
        <f t="shared" si="3"/>
        <v>-6.0971196030875223</v>
      </c>
      <c r="E19">
        <f t="shared" si="4"/>
        <v>8.9065359802411204E-2</v>
      </c>
      <c r="F19">
        <v>3</v>
      </c>
      <c r="G19">
        <v>0</v>
      </c>
      <c r="H19">
        <v>1</v>
      </c>
      <c r="I19">
        <v>1</v>
      </c>
      <c r="J19">
        <v>1</v>
      </c>
      <c r="K19">
        <f t="shared" si="5"/>
        <v>0</v>
      </c>
      <c r="M19">
        <f t="shared" si="6"/>
        <v>4.3823329178572797E-2</v>
      </c>
      <c r="N19">
        <f t="shared" si="7"/>
        <v>0</v>
      </c>
      <c r="O19">
        <f t="shared" si="8"/>
        <v>1.4607776392857598E-2</v>
      </c>
      <c r="P19">
        <f t="shared" si="9"/>
        <v>1.4607776392857598E-2</v>
      </c>
      <c r="Q19">
        <f t="shared" si="10"/>
        <v>1.4607776392857598E-2</v>
      </c>
    </row>
    <row r="20" spans="1:17" x14ac:dyDescent="0.3">
      <c r="A20">
        <f t="shared" si="0"/>
        <v>17</v>
      </c>
      <c r="B20">
        <f t="shared" si="1"/>
        <v>5.8823529411764705E-2</v>
      </c>
      <c r="C20">
        <f t="shared" si="2"/>
        <v>1.3748495428571856E-2</v>
      </c>
      <c r="D20">
        <f t="shared" si="3"/>
        <v>-6.1845824443378614</v>
      </c>
      <c r="E20">
        <f t="shared" si="4"/>
        <v>8.5028703463604846E-2</v>
      </c>
      <c r="F20">
        <v>3</v>
      </c>
      <c r="G20">
        <v>1</v>
      </c>
      <c r="H20">
        <v>0</v>
      </c>
      <c r="I20">
        <v>2</v>
      </c>
      <c r="J20">
        <v>0</v>
      </c>
      <c r="K20">
        <f t="shared" si="5"/>
        <v>0</v>
      </c>
      <c r="M20">
        <f t="shared" si="6"/>
        <v>4.1245486285715567E-2</v>
      </c>
      <c r="N20">
        <f t="shared" si="7"/>
        <v>1.3748495428571856E-2</v>
      </c>
      <c r="O20">
        <f t="shared" si="8"/>
        <v>0</v>
      </c>
      <c r="P20">
        <f t="shared" si="9"/>
        <v>2.7496990857143713E-2</v>
      </c>
      <c r="Q20">
        <f t="shared" si="10"/>
        <v>0</v>
      </c>
    </row>
    <row r="21" spans="1:17" x14ac:dyDescent="0.3">
      <c r="A21">
        <f t="shared" si="0"/>
        <v>18</v>
      </c>
      <c r="B21">
        <f t="shared" si="1"/>
        <v>5.5555555555555552E-2</v>
      </c>
      <c r="C21">
        <f t="shared" si="2"/>
        <v>1.2984690126984531E-2</v>
      </c>
      <c r="D21">
        <f t="shared" si="3"/>
        <v>-6.2670446045298336</v>
      </c>
      <c r="E21">
        <f t="shared" si="4"/>
        <v>8.1375632201810197E-2</v>
      </c>
      <c r="F21">
        <v>3</v>
      </c>
      <c r="G21">
        <v>0</v>
      </c>
      <c r="H21">
        <v>1</v>
      </c>
      <c r="I21">
        <v>2</v>
      </c>
      <c r="J21">
        <v>0</v>
      </c>
      <c r="K21">
        <f t="shared" si="5"/>
        <v>0</v>
      </c>
      <c r="M21">
        <f t="shared" si="6"/>
        <v>3.8954070380953595E-2</v>
      </c>
      <c r="N21">
        <f t="shared" si="7"/>
        <v>0</v>
      </c>
      <c r="O21">
        <f t="shared" si="8"/>
        <v>1.2984690126984531E-2</v>
      </c>
      <c r="P21">
        <f t="shared" si="9"/>
        <v>2.5969380253969061E-2</v>
      </c>
      <c r="Q21">
        <f t="shared" si="10"/>
        <v>0</v>
      </c>
    </row>
    <row r="22" spans="1:17" x14ac:dyDescent="0.3">
      <c r="A22">
        <f t="shared" si="0"/>
        <v>19</v>
      </c>
      <c r="B22">
        <f t="shared" si="1"/>
        <v>5.2631578947368418E-2</v>
      </c>
      <c r="C22">
        <f t="shared" si="2"/>
        <v>1.2301285383459029E-2</v>
      </c>
      <c r="D22">
        <f t="shared" si="3"/>
        <v>-6.3450471165311084</v>
      </c>
      <c r="E22">
        <f t="shared" si="4"/>
        <v>7.8052235351942986E-2</v>
      </c>
      <c r="F22">
        <v>3</v>
      </c>
      <c r="G22">
        <v>0</v>
      </c>
      <c r="H22">
        <v>0</v>
      </c>
      <c r="I22">
        <v>3</v>
      </c>
      <c r="J22">
        <v>0</v>
      </c>
      <c r="K22">
        <f t="shared" si="5"/>
        <v>0</v>
      </c>
      <c r="M22">
        <f t="shared" si="6"/>
        <v>3.6903856150377085E-2</v>
      </c>
      <c r="N22">
        <f t="shared" si="7"/>
        <v>0</v>
      </c>
      <c r="O22">
        <f t="shared" si="8"/>
        <v>0</v>
      </c>
      <c r="P22">
        <f t="shared" si="9"/>
        <v>3.6903856150377085E-2</v>
      </c>
      <c r="Q22">
        <f t="shared" si="10"/>
        <v>0</v>
      </c>
    </row>
    <row r="23" spans="1:17" x14ac:dyDescent="0.3">
      <c r="A23">
        <f t="shared" si="0"/>
        <v>20</v>
      </c>
      <c r="B23">
        <f t="shared" si="1"/>
        <v>0.05</v>
      </c>
      <c r="C23">
        <f t="shared" si="2"/>
        <v>1.1686221114286079E-2</v>
      </c>
      <c r="D23">
        <f t="shared" si="3"/>
        <v>-6.4190476979748849</v>
      </c>
      <c r="E23">
        <f t="shared" si="4"/>
        <v>7.5014410741683551E-2</v>
      </c>
      <c r="F23">
        <v>3</v>
      </c>
      <c r="G23">
        <v>0</v>
      </c>
      <c r="H23">
        <v>0</v>
      </c>
      <c r="I23">
        <v>2</v>
      </c>
      <c r="J23">
        <v>1</v>
      </c>
      <c r="K23">
        <f t="shared" si="5"/>
        <v>0</v>
      </c>
      <c r="M23">
        <f t="shared" si="6"/>
        <v>3.5058663342858239E-2</v>
      </c>
      <c r="N23">
        <f t="shared" si="7"/>
        <v>0</v>
      </c>
      <c r="O23">
        <f t="shared" si="8"/>
        <v>0</v>
      </c>
      <c r="P23">
        <f t="shared" si="9"/>
        <v>2.3372442228572158E-2</v>
      </c>
      <c r="Q23">
        <f t="shared" si="10"/>
        <v>1.1686221114286079E-2</v>
      </c>
    </row>
    <row r="24" spans="1:17" x14ac:dyDescent="0.3">
      <c r="A24">
        <f t="shared" si="0"/>
        <v>21</v>
      </c>
      <c r="B24">
        <f t="shared" si="1"/>
        <v>4.7619047619047616E-2</v>
      </c>
      <c r="C24">
        <f t="shared" si="2"/>
        <v>1.112973439455817E-2</v>
      </c>
      <c r="D24">
        <f t="shared" si="3"/>
        <v>-6.489437025866283</v>
      </c>
      <c r="E24">
        <f t="shared" si="4"/>
        <v>7.2225710468103249E-2</v>
      </c>
      <c r="F24">
        <v>3</v>
      </c>
      <c r="G24">
        <v>1</v>
      </c>
      <c r="H24">
        <v>0</v>
      </c>
      <c r="I24">
        <v>1</v>
      </c>
      <c r="J24">
        <v>1</v>
      </c>
      <c r="K24">
        <f t="shared" si="5"/>
        <v>0</v>
      </c>
      <c r="M24">
        <f t="shared" si="6"/>
        <v>3.3389203183674512E-2</v>
      </c>
      <c r="N24">
        <f t="shared" si="7"/>
        <v>1.112973439455817E-2</v>
      </c>
      <c r="O24">
        <f t="shared" si="8"/>
        <v>0</v>
      </c>
      <c r="P24">
        <f t="shared" si="9"/>
        <v>1.112973439455817E-2</v>
      </c>
      <c r="Q24">
        <f t="shared" si="10"/>
        <v>1.112973439455817E-2</v>
      </c>
    </row>
    <row r="25" spans="1:17" x14ac:dyDescent="0.3">
      <c r="A25">
        <f t="shared" si="0"/>
        <v>22</v>
      </c>
      <c r="B25">
        <f t="shared" si="1"/>
        <v>4.5454545454545456E-2</v>
      </c>
      <c r="C25">
        <f t="shared" si="2"/>
        <v>1.0623837376623708E-2</v>
      </c>
      <c r="D25">
        <f t="shared" si="3"/>
        <v>-6.5565512217248196</v>
      </c>
      <c r="E25">
        <f t="shared" si="4"/>
        <v>6.965573393110798E-2</v>
      </c>
      <c r="F25">
        <v>3</v>
      </c>
      <c r="G25">
        <v>0</v>
      </c>
      <c r="H25">
        <v>1</v>
      </c>
      <c r="I25">
        <v>1</v>
      </c>
      <c r="J25">
        <v>1</v>
      </c>
      <c r="K25">
        <f t="shared" si="5"/>
        <v>0</v>
      </c>
      <c r="M25">
        <f t="shared" si="6"/>
        <v>3.1871512129871125E-2</v>
      </c>
      <c r="N25">
        <f t="shared" si="7"/>
        <v>0</v>
      </c>
      <c r="O25">
        <f t="shared" si="8"/>
        <v>1.0623837376623708E-2</v>
      </c>
      <c r="P25">
        <f t="shared" si="9"/>
        <v>1.0623837376623708E-2</v>
      </c>
      <c r="Q25">
        <f t="shared" si="10"/>
        <v>1.0623837376623708E-2</v>
      </c>
    </row>
    <row r="26" spans="1:17" x14ac:dyDescent="0.3">
      <c r="A26">
        <f t="shared" si="0"/>
        <v>23</v>
      </c>
      <c r="B26">
        <f t="shared" si="1"/>
        <v>4.3478260869565216E-2</v>
      </c>
      <c r="C26">
        <f t="shared" si="2"/>
        <v>1.0161931403727025E-2</v>
      </c>
      <c r="D26">
        <f t="shared" si="3"/>
        <v>-6.6206815591445345</v>
      </c>
      <c r="E26">
        <f t="shared" si="4"/>
        <v>6.7278911849947248E-2</v>
      </c>
      <c r="F26">
        <v>3</v>
      </c>
      <c r="G26">
        <v>0</v>
      </c>
      <c r="H26">
        <v>0</v>
      </c>
      <c r="I26">
        <v>2</v>
      </c>
      <c r="J26">
        <v>1</v>
      </c>
      <c r="K26">
        <f t="shared" si="5"/>
        <v>0</v>
      </c>
      <c r="M26">
        <f t="shared" si="6"/>
        <v>3.0485794211181076E-2</v>
      </c>
      <c r="N26">
        <f t="shared" si="7"/>
        <v>0</v>
      </c>
      <c r="O26">
        <f t="shared" si="8"/>
        <v>0</v>
      </c>
      <c r="P26">
        <f t="shared" si="9"/>
        <v>2.032386280745405E-2</v>
      </c>
      <c r="Q26">
        <f t="shared" si="10"/>
        <v>1.0161931403727025E-2</v>
      </c>
    </row>
    <row r="27" spans="1:17" x14ac:dyDescent="0.3">
      <c r="A27">
        <f t="shared" si="0"/>
        <v>24</v>
      </c>
      <c r="B27">
        <f t="shared" si="1"/>
        <v>4.1666666666666664E-2</v>
      </c>
      <c r="C27">
        <f t="shared" si="2"/>
        <v>9.7385175952383989E-3</v>
      </c>
      <c r="D27">
        <f t="shared" si="3"/>
        <v>-6.6820821038086784</v>
      </c>
      <c r="E27">
        <f t="shared" si="4"/>
        <v>6.5073574140768434E-2</v>
      </c>
      <c r="F27">
        <v>3</v>
      </c>
      <c r="G27">
        <v>0</v>
      </c>
      <c r="H27">
        <v>0</v>
      </c>
      <c r="I27">
        <v>1</v>
      </c>
      <c r="J27">
        <v>2</v>
      </c>
      <c r="K27">
        <f t="shared" si="5"/>
        <v>0</v>
      </c>
      <c r="M27">
        <f t="shared" si="6"/>
        <v>2.9215552785715197E-2</v>
      </c>
      <c r="N27">
        <f t="shared" si="7"/>
        <v>0</v>
      </c>
      <c r="O27">
        <f t="shared" si="8"/>
        <v>0</v>
      </c>
      <c r="P27">
        <f t="shared" si="9"/>
        <v>9.7385175952383989E-3</v>
      </c>
      <c r="Q27">
        <f t="shared" si="10"/>
        <v>1.9477035190476798E-2</v>
      </c>
    </row>
    <row r="28" spans="1:17" x14ac:dyDescent="0.3">
      <c r="A28">
        <f t="shared" si="0"/>
        <v>25</v>
      </c>
      <c r="B28">
        <f t="shared" si="1"/>
        <v>0.04</v>
      </c>
      <c r="C28">
        <f t="shared" si="2"/>
        <v>9.3489768914288632E-3</v>
      </c>
      <c r="D28">
        <f t="shared" si="3"/>
        <v>-6.7409757928622467</v>
      </c>
      <c r="E28">
        <f t="shared" si="4"/>
        <v>6.3021226913150499E-2</v>
      </c>
      <c r="F28">
        <v>3</v>
      </c>
      <c r="G28">
        <v>2</v>
      </c>
      <c r="H28">
        <v>0</v>
      </c>
      <c r="I28">
        <v>0</v>
      </c>
      <c r="J28">
        <v>1</v>
      </c>
      <c r="K28">
        <f t="shared" si="5"/>
        <v>0</v>
      </c>
      <c r="M28">
        <f t="shared" si="6"/>
        <v>2.804693067428659E-2</v>
      </c>
      <c r="N28">
        <f t="shared" si="7"/>
        <v>1.8697953782857726E-2</v>
      </c>
      <c r="O28">
        <f t="shared" si="8"/>
        <v>0</v>
      </c>
      <c r="P28">
        <f t="shared" si="9"/>
        <v>0</v>
      </c>
      <c r="Q28">
        <f t="shared" si="10"/>
        <v>9.3489768914288632E-3</v>
      </c>
    </row>
    <row r="29" spans="1:17" x14ac:dyDescent="0.3">
      <c r="A29">
        <f t="shared" si="0"/>
        <v>26</v>
      </c>
      <c r="B29">
        <f t="shared" si="1"/>
        <v>3.8461538461538464E-2</v>
      </c>
      <c r="C29">
        <f t="shared" si="2"/>
        <v>8.9894008571431375E-3</v>
      </c>
      <c r="D29">
        <f t="shared" si="3"/>
        <v>-6.7975593212286149</v>
      </c>
      <c r="E29">
        <f t="shared" si="4"/>
        <v>6.1105985588733834E-2</v>
      </c>
      <c r="F29">
        <v>3</v>
      </c>
      <c r="G29">
        <v>1</v>
      </c>
      <c r="H29">
        <v>1</v>
      </c>
      <c r="I29">
        <v>0</v>
      </c>
      <c r="J29">
        <v>1</v>
      </c>
      <c r="K29">
        <f t="shared" si="5"/>
        <v>0</v>
      </c>
      <c r="M29">
        <f t="shared" si="6"/>
        <v>2.6968202571429414E-2</v>
      </c>
      <c r="N29">
        <f t="shared" si="7"/>
        <v>8.9894008571431375E-3</v>
      </c>
      <c r="O29">
        <f t="shared" si="8"/>
        <v>8.9894008571431375E-3</v>
      </c>
      <c r="P29">
        <f t="shared" si="9"/>
        <v>0</v>
      </c>
      <c r="Q29">
        <f t="shared" si="10"/>
        <v>8.9894008571431375E-3</v>
      </c>
    </row>
    <row r="30" spans="1:17" x14ac:dyDescent="0.3">
      <c r="A30">
        <f t="shared" si="0"/>
        <v>27</v>
      </c>
      <c r="B30">
        <f t="shared" si="1"/>
        <v>3.7037037037037035E-2</v>
      </c>
      <c r="C30">
        <f t="shared" si="2"/>
        <v>8.6564600846563543E-3</v>
      </c>
      <c r="D30">
        <f t="shared" si="3"/>
        <v>-6.8520071052509905</v>
      </c>
      <c r="E30">
        <f t="shared" si="4"/>
        <v>5.9314126006386934E-2</v>
      </c>
      <c r="F30">
        <v>3</v>
      </c>
      <c r="G30">
        <v>1</v>
      </c>
      <c r="H30">
        <v>0</v>
      </c>
      <c r="I30">
        <v>1</v>
      </c>
      <c r="J30">
        <v>1</v>
      </c>
      <c r="K30">
        <f t="shared" si="5"/>
        <v>0</v>
      </c>
      <c r="M30">
        <f t="shared" si="6"/>
        <v>2.5969380253969061E-2</v>
      </c>
      <c r="N30">
        <f t="shared" si="7"/>
        <v>8.6564600846563543E-3</v>
      </c>
      <c r="O30">
        <f t="shared" si="8"/>
        <v>0</v>
      </c>
      <c r="P30">
        <f t="shared" si="9"/>
        <v>8.6564600846563543E-3</v>
      </c>
      <c r="Q30">
        <f t="shared" si="10"/>
        <v>8.6564600846563543E-3</v>
      </c>
    </row>
    <row r="31" spans="1:17" x14ac:dyDescent="0.3">
      <c r="A31">
        <f t="shared" si="0"/>
        <v>28</v>
      </c>
      <c r="B31">
        <f t="shared" si="1"/>
        <v>3.5714285714285712E-2</v>
      </c>
      <c r="C31">
        <f t="shared" si="2"/>
        <v>8.3473007959186264E-3</v>
      </c>
      <c r="D31">
        <f t="shared" si="3"/>
        <v>-6.9044745251451261</v>
      </c>
      <c r="E31">
        <f t="shared" si="4"/>
        <v>5.7633725699143788E-2</v>
      </c>
      <c r="F31">
        <v>3</v>
      </c>
      <c r="G31">
        <v>1</v>
      </c>
      <c r="H31">
        <v>0</v>
      </c>
      <c r="I31">
        <v>0</v>
      </c>
      <c r="J31">
        <v>2</v>
      </c>
      <c r="K31">
        <f t="shared" si="5"/>
        <v>0</v>
      </c>
      <c r="M31">
        <f t="shared" si="6"/>
        <v>2.5041902387755881E-2</v>
      </c>
      <c r="N31">
        <f t="shared" si="7"/>
        <v>8.3473007959186264E-3</v>
      </c>
      <c r="O31">
        <f t="shared" si="8"/>
        <v>0</v>
      </c>
      <c r="P31">
        <f t="shared" si="9"/>
        <v>0</v>
      </c>
      <c r="Q31">
        <f t="shared" si="10"/>
        <v>1.6694601591837253E-2</v>
      </c>
    </row>
    <row r="32" spans="1:17" x14ac:dyDescent="0.3">
      <c r="A32">
        <f t="shared" si="0"/>
        <v>29</v>
      </c>
      <c r="B32">
        <f t="shared" si="1"/>
        <v>3.4482758620689655E-2</v>
      </c>
      <c r="C32">
        <f t="shared" si="2"/>
        <v>8.0594628374386756E-3</v>
      </c>
      <c r="D32">
        <f t="shared" si="3"/>
        <v>-6.9551005982150933</v>
      </c>
      <c r="E32">
        <f t="shared" si="4"/>
        <v>5.6054374801962042E-2</v>
      </c>
      <c r="F32">
        <v>3</v>
      </c>
      <c r="G32">
        <v>1</v>
      </c>
      <c r="H32">
        <v>1</v>
      </c>
      <c r="I32">
        <v>0</v>
      </c>
      <c r="J32">
        <v>1</v>
      </c>
      <c r="K32">
        <f t="shared" si="5"/>
        <v>0</v>
      </c>
      <c r="M32">
        <f t="shared" si="6"/>
        <v>2.4178388512316025E-2</v>
      </c>
      <c r="N32">
        <f t="shared" si="7"/>
        <v>8.0594628374386756E-3</v>
      </c>
      <c r="O32">
        <f t="shared" si="8"/>
        <v>8.0594628374386756E-3</v>
      </c>
      <c r="P32">
        <f t="shared" si="9"/>
        <v>0</v>
      </c>
      <c r="Q32">
        <f t="shared" si="10"/>
        <v>8.0594628374386756E-3</v>
      </c>
    </row>
    <row r="33" spans="1:18" x14ac:dyDescent="0.3">
      <c r="A33">
        <f t="shared" si="0"/>
        <v>30</v>
      </c>
      <c r="B33">
        <f t="shared" si="1"/>
        <v>3.3333333333333333E-2</v>
      </c>
      <c r="C33">
        <f t="shared" si="2"/>
        <v>7.7908140761907187E-3</v>
      </c>
      <c r="D33">
        <f t="shared" si="3"/>
        <v>-7.004010198696041</v>
      </c>
      <c r="E33">
        <f t="shared" si="4"/>
        <v>5.456694124578447E-2</v>
      </c>
      <c r="F33">
        <v>3</v>
      </c>
      <c r="G33">
        <v>0</v>
      </c>
      <c r="H33">
        <v>2</v>
      </c>
      <c r="I33">
        <v>0</v>
      </c>
      <c r="J33">
        <v>1</v>
      </c>
      <c r="K33">
        <f t="shared" si="5"/>
        <v>0</v>
      </c>
      <c r="M33">
        <f t="shared" si="6"/>
        <v>2.3372442228572154E-2</v>
      </c>
      <c r="N33">
        <f t="shared" si="7"/>
        <v>0</v>
      </c>
      <c r="O33">
        <f t="shared" si="8"/>
        <v>1.5581628152381437E-2</v>
      </c>
      <c r="P33">
        <f t="shared" si="9"/>
        <v>0</v>
      </c>
      <c r="Q33">
        <f t="shared" si="10"/>
        <v>7.7908140761907187E-3</v>
      </c>
    </row>
    <row r="34" spans="1:18" x14ac:dyDescent="0.3">
      <c r="A34">
        <f t="shared" si="0"/>
        <v>31</v>
      </c>
      <c r="B34">
        <f t="shared" si="1"/>
        <v>3.2258064516129031E-2</v>
      </c>
      <c r="C34">
        <f t="shared" si="2"/>
        <v>7.5394974930877929E-3</v>
      </c>
      <c r="D34">
        <f t="shared" si="3"/>
        <v>-7.0513159134743972</v>
      </c>
      <c r="E34">
        <f t="shared" si="4"/>
        <v>5.3163378652610276E-2</v>
      </c>
      <c r="F34">
        <v>3</v>
      </c>
      <c r="G34">
        <v>0</v>
      </c>
      <c r="H34">
        <v>1</v>
      </c>
      <c r="I34">
        <v>1</v>
      </c>
      <c r="J34">
        <v>1</v>
      </c>
      <c r="K34">
        <f t="shared" si="5"/>
        <v>0</v>
      </c>
      <c r="M34">
        <f t="shared" si="6"/>
        <v>2.2618492479263379E-2</v>
      </c>
      <c r="N34">
        <f t="shared" si="7"/>
        <v>0</v>
      </c>
      <c r="O34">
        <f t="shared" si="8"/>
        <v>7.5394974930877929E-3</v>
      </c>
      <c r="P34">
        <f t="shared" si="9"/>
        <v>7.5394974930877929E-3</v>
      </c>
      <c r="Q34">
        <f t="shared" si="10"/>
        <v>7.5394974930877929E-3</v>
      </c>
    </row>
    <row r="35" spans="1:18" x14ac:dyDescent="0.3">
      <c r="A35">
        <f t="shared" si="0"/>
        <v>32</v>
      </c>
      <c r="B35">
        <f t="shared" si="1"/>
        <v>3.125E-2</v>
      </c>
      <c r="C35">
        <f t="shared" si="2"/>
        <v>7.3038881964287991E-3</v>
      </c>
      <c r="D35">
        <f t="shared" si="3"/>
        <v>-7.0971196030875223</v>
      </c>
      <c r="E35">
        <f t="shared" si="4"/>
        <v>5.18365680976344E-2</v>
      </c>
      <c r="F35">
        <v>3</v>
      </c>
      <c r="G35">
        <v>0</v>
      </c>
      <c r="H35">
        <v>1</v>
      </c>
      <c r="I35">
        <v>0</v>
      </c>
      <c r="J35">
        <v>2</v>
      </c>
      <c r="K35">
        <f t="shared" si="5"/>
        <v>0</v>
      </c>
      <c r="M35">
        <f t="shared" si="6"/>
        <v>2.1911664589286398E-2</v>
      </c>
      <c r="N35">
        <f t="shared" si="7"/>
        <v>0</v>
      </c>
      <c r="O35">
        <f t="shared" si="8"/>
        <v>7.3038881964287991E-3</v>
      </c>
      <c r="P35">
        <f t="shared" si="9"/>
        <v>0</v>
      </c>
      <c r="Q35">
        <f t="shared" si="10"/>
        <v>1.4607776392857598E-2</v>
      </c>
    </row>
    <row r="36" spans="1:18" x14ac:dyDescent="0.3">
      <c r="A36">
        <f t="shared" si="0"/>
        <v>33</v>
      </c>
      <c r="B36">
        <f t="shared" si="1"/>
        <v>3.0303030303030304E-2</v>
      </c>
      <c r="C36">
        <f t="shared" si="2"/>
        <v>7.0825582510824717E-3</v>
      </c>
      <c r="D36">
        <f t="shared" si="3"/>
        <v>-7.1415137224459757</v>
      </c>
      <c r="E36">
        <f t="shared" si="4"/>
        <v>5.058018694012844E-2</v>
      </c>
      <c r="F36">
        <v>3</v>
      </c>
      <c r="G36">
        <v>1</v>
      </c>
      <c r="H36">
        <v>0</v>
      </c>
      <c r="I36">
        <v>1</v>
      </c>
      <c r="J36">
        <v>1</v>
      </c>
      <c r="K36">
        <f t="shared" si="5"/>
        <v>0</v>
      </c>
      <c r="M36">
        <f t="shared" si="6"/>
        <v>2.1247674753247417E-2</v>
      </c>
      <c r="N36">
        <f t="shared" si="7"/>
        <v>7.0825582510824717E-3</v>
      </c>
      <c r="O36">
        <f t="shared" si="8"/>
        <v>0</v>
      </c>
      <c r="P36">
        <f t="shared" si="9"/>
        <v>7.0825582510824717E-3</v>
      </c>
      <c r="Q36">
        <f t="shared" si="10"/>
        <v>7.0825582510824717E-3</v>
      </c>
    </row>
    <row r="37" spans="1:18" x14ac:dyDescent="0.3">
      <c r="A37">
        <f t="shared" si="0"/>
        <v>34</v>
      </c>
      <c r="B37">
        <f t="shared" si="1"/>
        <v>2.9411764705882353E-2</v>
      </c>
      <c r="C37">
        <f t="shared" si="2"/>
        <v>6.8742477142859281E-3</v>
      </c>
      <c r="D37">
        <f t="shared" si="3"/>
        <v>-7.1845824443378614</v>
      </c>
      <c r="E37">
        <f t="shared" si="4"/>
        <v>4.9388599446088352E-2</v>
      </c>
      <c r="F37">
        <v>3</v>
      </c>
      <c r="G37">
        <v>0</v>
      </c>
      <c r="H37">
        <v>1</v>
      </c>
      <c r="I37">
        <v>1</v>
      </c>
      <c r="J37">
        <v>1</v>
      </c>
      <c r="K37">
        <f t="shared" si="5"/>
        <v>0</v>
      </c>
      <c r="M37">
        <f t="shared" si="6"/>
        <v>2.0622743142857784E-2</v>
      </c>
      <c r="N37">
        <f t="shared" si="7"/>
        <v>0</v>
      </c>
      <c r="O37">
        <f t="shared" si="8"/>
        <v>6.8742477142859281E-3</v>
      </c>
      <c r="P37">
        <f t="shared" si="9"/>
        <v>6.8742477142859281E-3</v>
      </c>
      <c r="Q37">
        <f t="shared" si="10"/>
        <v>6.8742477142859281E-3</v>
      </c>
    </row>
    <row r="38" spans="1:18" x14ac:dyDescent="0.3">
      <c r="A38">
        <f t="shared" si="0"/>
        <v>35</v>
      </c>
      <c r="B38">
        <f t="shared" si="1"/>
        <v>2.8571428571428571E-2</v>
      </c>
      <c r="C38">
        <f t="shared" si="2"/>
        <v>6.6778406367349018E-3</v>
      </c>
      <c r="D38">
        <f t="shared" si="3"/>
        <v>-7.2264026200324887</v>
      </c>
      <c r="E38">
        <f t="shared" si="4"/>
        <v>4.8256765073460516E-2</v>
      </c>
      <c r="F38">
        <v>3</v>
      </c>
      <c r="G38">
        <v>0</v>
      </c>
      <c r="H38">
        <v>0</v>
      </c>
      <c r="I38">
        <v>2</v>
      </c>
      <c r="J38">
        <v>1</v>
      </c>
      <c r="K38">
        <f t="shared" si="5"/>
        <v>0</v>
      </c>
      <c r="M38">
        <f t="shared" si="6"/>
        <v>2.0033521910204705E-2</v>
      </c>
      <c r="N38">
        <f t="shared" si="7"/>
        <v>0</v>
      </c>
      <c r="O38">
        <f t="shared" si="8"/>
        <v>0</v>
      </c>
      <c r="P38">
        <f t="shared" si="9"/>
        <v>1.3355681273469804E-2</v>
      </c>
      <c r="Q38">
        <f t="shared" si="10"/>
        <v>6.6778406367349018E-3</v>
      </c>
    </row>
    <row r="39" spans="1:18" x14ac:dyDescent="0.3">
      <c r="A39">
        <f t="shared" si="0"/>
        <v>36</v>
      </c>
      <c r="B39">
        <f t="shared" si="1"/>
        <v>2.7777777777777776E-2</v>
      </c>
      <c r="C39">
        <f t="shared" si="2"/>
        <v>6.4923450634922653E-3</v>
      </c>
      <c r="D39">
        <f t="shared" si="3"/>
        <v>-7.2670446045298345</v>
      </c>
      <c r="E39">
        <f t="shared" si="4"/>
        <v>4.7180161164397369E-2</v>
      </c>
      <c r="F39">
        <v>3</v>
      </c>
      <c r="G39">
        <v>0</v>
      </c>
      <c r="H39">
        <v>0</v>
      </c>
      <c r="I39">
        <v>1</v>
      </c>
      <c r="J39">
        <v>2</v>
      </c>
      <c r="K39">
        <f t="shared" si="5"/>
        <v>0</v>
      </c>
      <c r="M39">
        <f t="shared" si="6"/>
        <v>1.9477035190476798E-2</v>
      </c>
      <c r="N39">
        <f t="shared" si="7"/>
        <v>0</v>
      </c>
      <c r="O39">
        <f t="shared" si="8"/>
        <v>0</v>
      </c>
      <c r="P39">
        <f t="shared" si="9"/>
        <v>6.4923450634922653E-3</v>
      </c>
      <c r="Q39">
        <f t="shared" si="10"/>
        <v>1.2984690126984531E-2</v>
      </c>
    </row>
    <row r="40" spans="1:18" x14ac:dyDescent="0.3">
      <c r="A40">
        <f t="shared" si="0"/>
        <v>37</v>
      </c>
      <c r="B40">
        <f t="shared" si="1"/>
        <v>2.7027027027027029E-2</v>
      </c>
      <c r="C40">
        <f t="shared" si="2"/>
        <v>6.3168762779924753E-3</v>
      </c>
      <c r="D40">
        <f t="shared" si="3"/>
        <v>-7.3065729687164724</v>
      </c>
      <c r="E40">
        <f t="shared" si="4"/>
        <v>4.6154717459506139E-2</v>
      </c>
      <c r="F40">
        <v>3</v>
      </c>
      <c r="G40">
        <v>1</v>
      </c>
      <c r="H40">
        <v>0</v>
      </c>
      <c r="I40">
        <v>0</v>
      </c>
      <c r="J40">
        <v>2</v>
      </c>
      <c r="K40">
        <f t="shared" si="5"/>
        <v>0</v>
      </c>
      <c r="M40">
        <f t="shared" si="6"/>
        <v>1.8950628833977426E-2</v>
      </c>
      <c r="N40">
        <f t="shared" si="7"/>
        <v>6.3168762779924753E-3</v>
      </c>
      <c r="O40">
        <f t="shared" si="8"/>
        <v>0</v>
      </c>
      <c r="P40">
        <f t="shared" si="9"/>
        <v>0</v>
      </c>
      <c r="Q40">
        <f t="shared" si="10"/>
        <v>1.2633752555984951E-2</v>
      </c>
    </row>
    <row r="41" spans="1:18" x14ac:dyDescent="0.3">
      <c r="A41">
        <f t="shared" si="0"/>
        <v>38</v>
      </c>
      <c r="B41">
        <f t="shared" si="1"/>
        <v>2.6315789473684209E-2</v>
      </c>
      <c r="C41">
        <f t="shared" si="2"/>
        <v>6.1506426917295144E-3</v>
      </c>
      <c r="D41">
        <f t="shared" si="3"/>
        <v>-7.3450471165311075</v>
      </c>
      <c r="E41">
        <f t="shared" si="4"/>
        <v>4.5176760367700998E-2</v>
      </c>
      <c r="F41">
        <v>3</v>
      </c>
      <c r="G41">
        <v>0</v>
      </c>
      <c r="H41">
        <v>1</v>
      </c>
      <c r="I41">
        <v>0</v>
      </c>
      <c r="J41">
        <v>2</v>
      </c>
      <c r="K41">
        <f t="shared" si="5"/>
        <v>0</v>
      </c>
      <c r="M41">
        <f t="shared" si="6"/>
        <v>1.8451928075188542E-2</v>
      </c>
      <c r="N41">
        <f t="shared" si="7"/>
        <v>0</v>
      </c>
      <c r="O41">
        <f t="shared" si="8"/>
        <v>6.1506426917295144E-3</v>
      </c>
      <c r="P41">
        <f t="shared" si="9"/>
        <v>0</v>
      </c>
      <c r="Q41">
        <f t="shared" si="10"/>
        <v>1.2301285383459029E-2</v>
      </c>
    </row>
    <row r="42" spans="1:18" x14ac:dyDescent="0.3">
      <c r="A42">
        <f t="shared" si="0"/>
        <v>39</v>
      </c>
      <c r="B42">
        <f t="shared" si="1"/>
        <v>2.564102564102564E-2</v>
      </c>
      <c r="C42">
        <f t="shared" si="2"/>
        <v>5.9929339047620914E-3</v>
      </c>
      <c r="D42">
        <f t="shared" si="3"/>
        <v>-7.3825218219497701</v>
      </c>
      <c r="E42">
        <f t="shared" si="4"/>
        <v>4.4242965329408787E-2</v>
      </c>
      <c r="F42">
        <v>3</v>
      </c>
      <c r="G42">
        <v>0</v>
      </c>
      <c r="H42">
        <v>0</v>
      </c>
      <c r="I42">
        <v>1</v>
      </c>
      <c r="J42">
        <v>2</v>
      </c>
      <c r="K42">
        <f t="shared" si="5"/>
        <v>0</v>
      </c>
      <c r="M42">
        <f t="shared" si="6"/>
        <v>1.7978801714286275E-2</v>
      </c>
      <c r="N42">
        <f t="shared" si="7"/>
        <v>0</v>
      </c>
      <c r="O42">
        <f t="shared" si="8"/>
        <v>0</v>
      </c>
      <c r="P42">
        <f t="shared" si="9"/>
        <v>5.9929339047620914E-3</v>
      </c>
      <c r="Q42">
        <f t="shared" si="10"/>
        <v>1.1985867809524183E-2</v>
      </c>
    </row>
    <row r="43" spans="1:18" x14ac:dyDescent="0.3">
      <c r="A43">
        <f t="shared" si="0"/>
        <v>40</v>
      </c>
      <c r="B43">
        <f t="shared" si="1"/>
        <v>2.5000000000000001E-2</v>
      </c>
      <c r="C43">
        <f t="shared" si="2"/>
        <v>5.8431105571430395E-3</v>
      </c>
      <c r="D43">
        <f t="shared" si="3"/>
        <v>-7.4190476979748849</v>
      </c>
      <c r="E43">
        <f t="shared" si="4"/>
        <v>4.3350315927984814E-2</v>
      </c>
      <c r="F43">
        <v>3</v>
      </c>
      <c r="G43">
        <v>0</v>
      </c>
      <c r="H43">
        <v>0</v>
      </c>
      <c r="I43">
        <v>0</v>
      </c>
      <c r="J43">
        <v>3</v>
      </c>
      <c r="K43">
        <f t="shared" si="5"/>
        <v>0</v>
      </c>
      <c r="M43">
        <f t="shared" si="6"/>
        <v>1.7529331671429119E-2</v>
      </c>
      <c r="N43">
        <f t="shared" si="7"/>
        <v>0</v>
      </c>
      <c r="O43">
        <f t="shared" si="8"/>
        <v>0</v>
      </c>
      <c r="P43">
        <f t="shared" si="9"/>
        <v>0</v>
      </c>
      <c r="Q43">
        <f t="shared" si="10"/>
        <v>1.7529331671429119E-2</v>
      </c>
    </row>
    <row r="45" spans="1:18" x14ac:dyDescent="0.3">
      <c r="A45" t="s">
        <v>8</v>
      </c>
      <c r="B45">
        <f>SUM(B4:B43)</f>
        <v>4.2785430389363759</v>
      </c>
      <c r="C45">
        <f>SUM(C4:C43)</f>
        <v>1</v>
      </c>
      <c r="D45" t="s">
        <v>12</v>
      </c>
      <c r="E45">
        <f>SUM(E4:E43)</f>
        <v>4.3823009185743107</v>
      </c>
      <c r="F45" t="s">
        <v>23</v>
      </c>
      <c r="L45" t="s">
        <v>31</v>
      </c>
      <c r="M45">
        <f>SUM(M4:M43)</f>
        <v>2.364770409430593</v>
      </c>
      <c r="N45">
        <f>SUM(N4:N43)</f>
        <v>0.9924381436095262</v>
      </c>
      <c r="O45">
        <f>SUM(O4:O43)</f>
        <v>0.4931571394491775</v>
      </c>
      <c r="P45">
        <f>SUM(P4:P43)</f>
        <v>0.52460833257761152</v>
      </c>
      <c r="Q45">
        <f>SUM(Q4:Q43)</f>
        <v>0.35456679379427725</v>
      </c>
      <c r="R45">
        <f>SUM(N45:Q45)</f>
        <v>2.3647704094305921</v>
      </c>
    </row>
    <row r="46" spans="1:18" x14ac:dyDescent="0.3">
      <c r="A46" t="s">
        <v>9</v>
      </c>
      <c r="F46" t="s">
        <v>24</v>
      </c>
      <c r="L46" t="s">
        <v>32</v>
      </c>
      <c r="M46" s="1" t="s">
        <v>43</v>
      </c>
      <c r="N46" s="1">
        <f>N45/$M45</f>
        <v>0.4196763202261537</v>
      </c>
      <c r="O46" s="1">
        <f>O45/$M45</f>
        <v>0.20854334842929784</v>
      </c>
      <c r="P46" s="1">
        <f>P45/$M45</f>
        <v>0.22184324130811947</v>
      </c>
      <c r="Q46" s="1">
        <f>Q45/$M45</f>
        <v>0.14993709003642872</v>
      </c>
      <c r="R46">
        <f>SUM(N46:Q46)</f>
        <v>0.99999999999999978</v>
      </c>
    </row>
    <row r="47" spans="1:18" x14ac:dyDescent="0.3">
      <c r="A47" t="s">
        <v>13</v>
      </c>
      <c r="C47">
        <f>SUM(C4:C11)*2+SUM(C12:C43)*3</f>
        <v>2.3647704094305921</v>
      </c>
      <c r="F47" t="s">
        <v>25</v>
      </c>
      <c r="L47" t="s">
        <v>33</v>
      </c>
    </row>
    <row r="48" spans="1:18" x14ac:dyDescent="0.3">
      <c r="A48" t="s">
        <v>14</v>
      </c>
      <c r="F48" t="s">
        <v>26</v>
      </c>
    </row>
    <row r="49" spans="1:13" x14ac:dyDescent="0.3">
      <c r="A49" s="1" t="s">
        <v>15</v>
      </c>
      <c r="C49" s="1">
        <f>C47*4</f>
        <v>9.4590816377223685</v>
      </c>
      <c r="J49" t="s">
        <v>35</v>
      </c>
      <c r="K49" s="1" t="s">
        <v>38</v>
      </c>
      <c r="M49" t="s">
        <v>40</v>
      </c>
    </row>
    <row r="50" spans="1:13" x14ac:dyDescent="0.3">
      <c r="A50" t="s">
        <v>16</v>
      </c>
      <c r="J50" t="s">
        <v>36</v>
      </c>
      <c r="K50" s="1" t="s">
        <v>39</v>
      </c>
      <c r="M50" t="s">
        <v>41</v>
      </c>
    </row>
    <row r="51" spans="1:13" x14ac:dyDescent="0.3">
      <c r="A51" s="1" t="s">
        <v>17</v>
      </c>
      <c r="E51" s="1">
        <f>E45*4/2</f>
        <v>8.7646018371486214</v>
      </c>
      <c r="J51" t="s">
        <v>37</v>
      </c>
      <c r="K51" s="1"/>
    </row>
    <row r="52" spans="1:13" x14ac:dyDescent="0.3">
      <c r="A52" t="s">
        <v>18</v>
      </c>
      <c r="J52">
        <v>1.5</v>
      </c>
      <c r="K52" s="1">
        <f>J52/J$57</f>
        <v>0.3125</v>
      </c>
      <c r="M52">
        <f>N46/K52</f>
        <v>1.3429642247236919</v>
      </c>
    </row>
    <row r="53" spans="1:13" x14ac:dyDescent="0.3">
      <c r="A53" t="s">
        <v>19</v>
      </c>
      <c r="J53">
        <v>1.4</v>
      </c>
      <c r="K53" s="1">
        <f>J53/J$57</f>
        <v>0.29166666666666669</v>
      </c>
      <c r="M53">
        <f>P46/K53</f>
        <v>0.76060539877069533</v>
      </c>
    </row>
    <row r="54" spans="1:13" x14ac:dyDescent="0.3">
      <c r="J54">
        <v>1</v>
      </c>
      <c r="K54" s="1">
        <f>J54/J$57</f>
        <v>0.20833333333333334</v>
      </c>
      <c r="M54">
        <f>O46/K54</f>
        <v>1.0010080724606296</v>
      </c>
    </row>
    <row r="55" spans="1:13" x14ac:dyDescent="0.3">
      <c r="J55">
        <v>0.9</v>
      </c>
      <c r="K55" s="1">
        <f>J55/J$57</f>
        <v>0.1875</v>
      </c>
      <c r="M55">
        <f>Q46/K55</f>
        <v>0.79966448019428649</v>
      </c>
    </row>
    <row r="56" spans="1:13" x14ac:dyDescent="0.3">
      <c r="L56" s="1" t="s">
        <v>44</v>
      </c>
      <c r="M56" s="1">
        <f>SUM(M52:M55)</f>
        <v>3.9042421761493031</v>
      </c>
    </row>
    <row r="57" spans="1:13" x14ac:dyDescent="0.3">
      <c r="J57">
        <f>SUM(J52:J55)</f>
        <v>4.8</v>
      </c>
      <c r="K57">
        <f>SUM(K52:K55)</f>
        <v>1</v>
      </c>
    </row>
    <row r="58" spans="1:13" x14ac:dyDescent="0.3">
      <c r="L58" s="1" t="s">
        <v>45</v>
      </c>
      <c r="M58" s="1">
        <f>M56*M45</f>
        <v>9.2326363694087767</v>
      </c>
    </row>
    <row r="59" spans="1:13" x14ac:dyDescent="0.3">
      <c r="L59" s="1" t="s">
        <v>46</v>
      </c>
    </row>
    <row r="60" spans="1:13" x14ac:dyDescent="0.3">
      <c r="L60" s="1" t="s">
        <v>47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Keller, Jörg</dc:creator>
  <cp:lastModifiedBy>Keller, Jörg</cp:lastModifiedBy>
  <dcterms:created xsi:type="dcterms:W3CDTF">2026-06-05T16:20:06Z</dcterms:created>
  <dcterms:modified xsi:type="dcterms:W3CDTF">2026-06-18T05:48:15Z</dcterms:modified>
</cp:coreProperties>
</file>